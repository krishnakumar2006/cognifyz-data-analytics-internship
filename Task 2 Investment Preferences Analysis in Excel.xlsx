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feb1f3fbbbf9b9/Desktop/Internship answers/"/>
    </mc:Choice>
  </mc:AlternateContent>
  <xr:revisionPtr revIDLastSave="20" documentId="13_ncr:1_{112588EE-5892-48E4-839A-D654E21EBC19}" xr6:coauthVersionLast="47" xr6:coauthVersionMax="47" xr10:uidLastSave="{93FCCB8B-2784-4AFA-86D1-0126D705D42A}"/>
  <bookViews>
    <workbookView minimized="1" xWindow="4356" yWindow="3036" windowWidth="17280" windowHeight="8880" xr2:uid="{2DD6B2FF-AAD2-43FF-B616-3B55E944E0A4}"/>
  </bookViews>
  <sheets>
    <sheet name="task 2" sheetId="3" r:id="rId1"/>
    <sheet name="Data_set 2" sheetId="1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3" l="1"/>
  <c r="H14" i="3"/>
  <c r="H13" i="3"/>
  <c r="H12" i="3"/>
  <c r="H11" i="3"/>
  <c r="H10" i="3"/>
  <c r="H9" i="3"/>
  <c r="H16" i="3"/>
</calcChain>
</file>

<file path=xl/sharedStrings.xml><?xml version="1.0" encoding="utf-8"?>
<sst xmlns="http://schemas.openxmlformats.org/spreadsheetml/2006/main" count="687" uniqueCount="77">
  <si>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</si>
  <si>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</si>
  <si>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</si>
  <si>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</si>
  <si>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</si>
  <si>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</si>
  <si>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</si>
  <si>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</si>
  <si>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</si>
  <si>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</si>
  <si>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</si>
  <si>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</si>
  <si>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</si>
  <si>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</si>
  <si>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</si>
  <si>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</si>
  <si>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</si>
  <si>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</si>
  <si>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</si>
  <si>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</si>
  <si>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</si>
  <si>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</si>
  <si>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</si>
  <si>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</si>
  <si>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</si>
  <si>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</si>
  <si>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</si>
  <si>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</si>
  <si>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</si>
  <si>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</si>
  <si>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</si>
  <si>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</si>
  <si>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</si>
  <si>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</si>
  <si>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</si>
  <si>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</si>
  <si>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</si>
  <si>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</si>
  <si>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</si>
  <si>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</si>
  <si>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</si>
  <si>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</si>
  <si>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</si>
  <si>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</si>
  <si>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</si>
  <si>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</si>
  <si>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</si>
  <si>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</si>
  <si>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</si>
  <si>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</si>
  <si>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</si>
  <si>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</si>
  <si>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</si>
  <si>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</si>
  <si>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</si>
  <si>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</si>
  <si>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</si>
  <si>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</si>
  <si>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</si>
  <si>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</si>
  <si>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</si>
  <si>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</si>
  <si>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</si>
  <si>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</si>
  <si>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</si>
  <si>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</si>
  <si>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</si>
  <si>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</si>
  <si>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</si>
  <si>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</si>
  <si>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Investment_Avenues</t>
  </si>
  <si>
    <t>count</t>
  </si>
  <si>
    <t>Investment names</t>
  </si>
  <si>
    <t>Count of Factor</t>
  </si>
  <si>
    <t>S</t>
  </si>
  <si>
    <t>s</t>
  </si>
  <si>
    <t xml:space="preserve">Stock_Marktet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</si>
</sst>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1" xfId="0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avenues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03149606299217E-2"/>
          <c:y val="0.26328484981044037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37</c:v>
              </c:pt>
            </c:numLit>
          </c:val>
          <c:extLst>
            <c:ext xmlns:c16="http://schemas.microsoft.com/office/drawing/2014/chart" uri="{C3380CC4-5D6E-409C-BE32-E72D297353CC}">
              <c16:uniqueId val="{00000000-3CA0-4432-A621-E17545335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088399"/>
        <c:axId val="2136572367"/>
      </c:barChart>
      <c:catAx>
        <c:axId val="21390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572367"/>
        <c:crosses val="autoZero"/>
        <c:auto val="1"/>
        <c:lblAlgn val="ctr"/>
        <c:lblOffset val="100"/>
        <c:noMultiLvlLbl val="0"/>
      </c:catAx>
      <c:valAx>
        <c:axId val="21365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8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Preferences Distribution</a:t>
            </a:r>
            <a:endParaRPr lang="en-US"/>
          </a:p>
        </c:rich>
      </c:tx>
      <c:layout>
        <c:manualLayout>
          <c:xMode val="edge"/>
          <c:yMode val="edge"/>
          <c:x val="0.32185437944225992"/>
          <c:y val="2.4042704680757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 2'!$H$8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'task 2'!$G$9:$G$16</c15:sqref>
                  </c15:fullRef>
                </c:ext>
              </c:extLst>
              <c:f>'task 2'!$G$9:$G$15</c:f>
              <c:strCache>
                <c:ptCount val="7"/>
                <c:pt idx="0">
                  <c:v>Mutual_Funds</c:v>
                </c:pt>
                <c:pt idx="1">
                  <c:v>Equity_Market</c:v>
                </c:pt>
                <c:pt idx="2">
                  <c:v>Debentures</c:v>
                </c:pt>
                <c:pt idx="3">
                  <c:v>Government_Bonds</c:v>
                </c:pt>
                <c:pt idx="4">
                  <c:v>Fixed_Deposits</c:v>
                </c:pt>
                <c:pt idx="5">
                  <c:v>PPF</c:v>
                </c:pt>
                <c:pt idx="6">
                  <c:v>Gold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 2'!$H$9:$H$16</c15:sqref>
                  </c15:fullRef>
                </c:ext>
              </c:extLst>
              <c:f>'task 2'!$H$9:$H$15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C-4CD7-A24C-E3BD06900F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15614111"/>
        <c:axId val="755944559"/>
        <c:axId val="0"/>
      </c:bar3DChart>
      <c:catAx>
        <c:axId val="71561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Investment</a:t>
                </a:r>
                <a:r>
                  <a:rPr lang="en-IN" sz="1400" b="1" baseline="0"/>
                  <a:t> avenues</a:t>
                </a:r>
                <a:endParaRPr lang="en-IN" sz="1400" b="1"/>
              </a:p>
            </c:rich>
          </c:tx>
          <c:layout>
            <c:manualLayout>
              <c:xMode val="edge"/>
              <c:yMode val="edge"/>
              <c:x val="0.34156920077972713"/>
              <c:y val="0.8862214965604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44559"/>
        <c:crosses val="autoZero"/>
        <c:auto val="1"/>
        <c:lblAlgn val="ctr"/>
        <c:lblOffset val="100"/>
        <c:noMultiLvlLbl val="0"/>
      </c:catAx>
      <c:valAx>
        <c:axId val="7559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Preference Score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2.6589384660250803E-2"/>
              <c:y val="0.19892233370494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1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07296894905684"/>
          <c:y val="0.87096767586325941"/>
          <c:w val="5.9814703521806976E-2"/>
          <c:h val="6.4240283130368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Market Participation</a:t>
            </a:r>
            <a:endParaRPr lang="en-IN"/>
          </a:p>
        </c:rich>
      </c:tx>
      <c:layout>
        <c:manualLayout>
          <c:xMode val="edge"/>
          <c:yMode val="edge"/>
          <c:x val="0.28423564016314085"/>
          <c:y val="5.262965562423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2'!$G$16:$G$17</c:f>
              <c:strCache>
                <c:ptCount val="1"/>
                <c:pt idx="0">
                  <c:v>Stock_Marktet </c:v>
                </c:pt>
              </c:strCache>
            </c:strRef>
          </c:cat>
          <c:val>
            <c:numRef>
              <c:f>'task 2'!$H$16:$H$17</c:f>
              <c:numCache>
                <c:formatCode>General</c:formatCode>
                <c:ptCount val="2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B05-890F-E9D0A7702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9891823"/>
        <c:axId val="755924399"/>
        <c:axId val="0"/>
      </c:bar3DChart>
      <c:catAx>
        <c:axId val="71989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Investment</a:t>
                </a:r>
                <a:r>
                  <a:rPr lang="en-IN" sz="1400" baseline="0"/>
                  <a:t> avenues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0.35825546806649167"/>
              <c:y val="0.890929206765820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24399"/>
        <c:crosses val="autoZero"/>
        <c:auto val="1"/>
        <c:lblAlgn val="ctr"/>
        <c:lblOffset val="100"/>
        <c:noMultiLvlLbl val="0"/>
      </c:catAx>
      <c:valAx>
        <c:axId val="7559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Average</a:t>
                </a:r>
                <a:r>
                  <a:rPr lang="en-IN" sz="1200" baseline="0"/>
                  <a:t> Preference Score</a:t>
                </a:r>
                <a:endParaRPr lang="en-IN" sz="1200"/>
              </a:p>
            </c:rich>
          </c:tx>
          <c:layout>
            <c:manualLayout>
              <c:xMode val="edge"/>
              <c:yMode val="edge"/>
              <c:x val="3.2188101487314089E-2"/>
              <c:y val="0.23996172353455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Investment Preferences Analysis in Excel.xlsx]task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Reasons for Investment Choices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2'!$A$48:$A$51</c:f>
              <c:strCache>
                <c:ptCount val="3"/>
                <c:pt idx="0">
                  <c:v>Locking Period</c:v>
                </c:pt>
                <c:pt idx="1">
                  <c:v>Returns</c:v>
                </c:pt>
                <c:pt idx="2">
                  <c:v>Risk</c:v>
                </c:pt>
              </c:strCache>
            </c:strRef>
          </c:cat>
          <c:val>
            <c:numRef>
              <c:f>'task 2'!$B$48:$B$51</c:f>
              <c:numCache>
                <c:formatCode>General</c:formatCode>
                <c:ptCount val="3"/>
                <c:pt idx="0">
                  <c:v>1</c:v>
                </c:pt>
                <c:pt idx="1">
                  <c:v>25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4-4931-96FB-EDCF20B4F9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4374271"/>
        <c:axId val="755980079"/>
      </c:barChart>
      <c:catAx>
        <c:axId val="172437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0" i="0" u="none" strike="noStrike" baseline="0"/>
                  <a:t>Factors</a:t>
                </a:r>
                <a:endParaRPr lang="en-IN" sz="2000"/>
              </a:p>
            </c:rich>
          </c:tx>
          <c:layout>
            <c:manualLayout>
              <c:xMode val="edge"/>
              <c:yMode val="edge"/>
              <c:x val="0.4019407261592301"/>
              <c:y val="0.84688006093711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80079"/>
        <c:crosses val="autoZero"/>
        <c:auto val="1"/>
        <c:lblAlgn val="ctr"/>
        <c:lblOffset val="100"/>
        <c:noMultiLvlLbl val="0"/>
      </c:catAx>
      <c:valAx>
        <c:axId val="7559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0" i="0" u="none" strike="noStrike" baseline="0"/>
                  <a:t>Number of Participants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737829</xdr:colOff>
      <xdr:row>23</xdr:row>
      <xdr:rowOff>110405</xdr:rowOff>
    </xdr:from>
    <xdr:to>
      <xdr:col>13</xdr:col>
      <xdr:colOff>135373</xdr:colOff>
      <xdr:row>38</xdr:row>
      <xdr:rowOff>110404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4EA3C-D873-FB96-C7A1-0EAD744C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56980</xdr:colOff>
      <xdr:row>1</xdr:row>
      <xdr:rowOff>4264</xdr:rowOff>
    </xdr:from>
    <xdr:to>
      <xdr:col>6</xdr:col>
      <xdr:colOff>0</xdr:colOff>
      <xdr:row>19</xdr:row>
      <xdr:rowOff>129084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7DFE15-1C47-8296-4D4E-02BEEA5B2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292273</xdr:colOff>
      <xdr:row>2</xdr:row>
      <xdr:rowOff>121085</xdr:rowOff>
    </xdr:from>
    <xdr:to>
      <xdr:col>13</xdr:col>
      <xdr:colOff>553232</xdr:colOff>
      <xdr:row>17</xdr:row>
      <xdr:rowOff>45929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AF9762-DDDC-3F2D-EF76-D1D3F282A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607218</xdr:colOff>
      <xdr:row>43</xdr:row>
      <xdr:rowOff>170260</xdr:rowOff>
    </xdr:from>
    <xdr:to>
      <xdr:col>5</xdr:col>
      <xdr:colOff>1089420</xdr:colOff>
      <xdr:row>66</xdr:row>
      <xdr:rowOff>107156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0D180B-9379-4448-8869-68CCB38B2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0.431147222225" createdVersion="8" refreshedVersion="8" minRefreshableVersion="3" recordCount="40" xr:uid="{28E071BC-9003-4165-9335-ECB2A9D241DC}">
  <cacheSource type="worksheet">
    <worksheetSource ref="A1:X41" sheet="Data_set 2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0.579110185186" createdVersion="8" refreshedVersion="8" minRefreshableVersion="3" recordCount="40" xr:uid="{2D30722E-A6BB-4330-BC9A-6A813B7E4716}">
  <cacheSource type="worksheet">
    <worksheetSource ref="G44:G84" sheet="task 2"/>
  </cacheSource>
  <cacheFields count="1">
    <cacheField name="Factor" numFmtId="0">
      <sharedItems count="3">
        <s v="Returns"/>
        <s v="Locking Period"/>
        <s v="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x v="0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s v="Newspapers and Magazines"/>
  </r>
  <r>
    <s v="Female"/>
    <n v="23"/>
    <x v="0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s v="Financial Consultants"/>
  </r>
  <r>
    <s v="Male"/>
    <n v="30"/>
    <x v="0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s v="Television"/>
  </r>
  <r>
    <s v="Male"/>
    <n v="22"/>
    <x v="0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s v="Internet"/>
  </r>
  <r>
    <s v="Female"/>
    <n v="24"/>
    <x v="1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s v="Internet"/>
  </r>
  <r>
    <s v="Female"/>
    <n v="24"/>
    <x v="1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s v="Internet"/>
  </r>
  <r>
    <s v="Female"/>
    <n v="27"/>
    <x v="0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s v="Financial Consultants"/>
  </r>
  <r>
    <s v="Male"/>
    <n v="21"/>
    <x v="0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Newspapers and Magazines"/>
  </r>
  <r>
    <s v="Male"/>
    <n v="35"/>
    <x v="0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s v="Television"/>
  </r>
  <r>
    <s v="Male"/>
    <n v="31"/>
    <x v="0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s v="Newspapers and Magazines"/>
  </r>
  <r>
    <s v="Female"/>
    <n v="35"/>
    <x v="0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9"/>
    <x v="0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s v="Financial Consultants"/>
  </r>
  <r>
    <s v="Female"/>
    <n v="21"/>
    <x v="1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s v="Internet"/>
  </r>
  <r>
    <s v="Female"/>
    <n v="28"/>
    <x v="0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s v="Newspapers and Magazines"/>
  </r>
  <r>
    <s v="Female"/>
    <n v="25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s v="Financial Consultants"/>
  </r>
  <r>
    <s v="Male"/>
    <n v="27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s v="Newspapers and Magazines"/>
  </r>
  <r>
    <s v="Female"/>
    <n v="28"/>
    <x v="0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s v="Television"/>
  </r>
  <r>
    <s v="Male"/>
    <n v="27"/>
    <x v="0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9"/>
    <x v="0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Newspapers and Magazines"/>
  </r>
  <r>
    <s v="Male"/>
    <n v="26"/>
    <x v="0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s v="Newspapers and Magazines"/>
  </r>
  <r>
    <s v="Male"/>
    <n v="29"/>
    <x v="0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s v="Financial Consultants"/>
  </r>
  <r>
    <s v="Female"/>
    <n v="24"/>
    <x v="0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s v="Newspapers and Magazines"/>
  </r>
  <r>
    <s v="Male"/>
    <n v="27"/>
    <x v="0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5"/>
    <x v="0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s v="Financial Consultants"/>
  </r>
  <r>
    <s v="Female"/>
    <n v="26"/>
    <x v="0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s v="Newspapers and Magazines"/>
  </r>
  <r>
    <s v="Female"/>
    <n v="32"/>
    <x v="0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s v="Financial Consultants"/>
  </r>
  <r>
    <s v="Male"/>
    <n v="26"/>
    <x v="0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s v="Financial Consultants"/>
  </r>
  <r>
    <s v="Male"/>
    <n v="31"/>
    <x v="0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s v="Television"/>
  </r>
  <r>
    <s v="Male"/>
    <n v="29"/>
    <x v="0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Television"/>
  </r>
  <r>
    <s v="Female"/>
    <n v="34"/>
    <x v="0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s v="Newspapers and Magazines"/>
  </r>
  <r>
    <s v="Male"/>
    <n v="27"/>
    <x v="0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s v="Television"/>
  </r>
  <r>
    <s v="Female"/>
    <n v="31"/>
    <x v="0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s v="Financial Consultants"/>
  </r>
  <r>
    <s v="Male"/>
    <n v="27"/>
    <x v="0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s v="Newspapers and Magazines"/>
  </r>
  <r>
    <s v="Male"/>
    <n v="26"/>
    <x v="0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s v="Newspapers and Magazines"/>
  </r>
  <r>
    <s v="Male"/>
    <n v="27"/>
    <x v="0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s v="Financial Consultants"/>
  </r>
  <r>
    <s v="Male"/>
    <n v="30"/>
    <x v="0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s v="Financial Consultants"/>
  </r>
  <r>
    <s v="Male"/>
    <n v="30"/>
    <x v="0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Newspapers and Magazines"/>
  </r>
  <r>
    <s v="Male"/>
    <n v="25"/>
    <x v="0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s v="Financial Consultants"/>
  </r>
  <r>
    <s v="Male"/>
    <n v="31"/>
    <x v="0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s v="Newspapers and Magazines"/>
  </r>
  <r>
    <s v="Male"/>
    <n v="29"/>
    <x v="0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s v="Financial Consultant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41D6F-2510-4455-A394-2E5F2C816AE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7:B51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tor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7A13B-E8D1-4CA3-9E70-80DF79DCBFD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0:F33" firstHeaderRow="1" firstDataRow="1" firstDataCol="1"/>
  <pivotFields count="24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nvestment_Avenues" fld="2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9828-099F-4B6A-A8C4-4BEBEA824F3A}">
  <dimension ref="A1:O58"/>
  <sheetViews>
    <sheetView tabSelected="1" topLeftCell="B1" zoomScaleNormal="100" workbookViewId="0">
      <selection activeCell="F24" sqref="F24"/>
    </sheetView>
  </sheetViews>
  <sheetFormatPr defaultRowHeight="14.4" x14ac:dyDescent="0.3"/>
  <cols>
    <col min="1" max="1" width="17.21875" customWidth="1"/>
    <col min="2" max="2" width="20.44140625" customWidth="1"/>
    <col min="3" max="3" width="27" customWidth="1"/>
    <col min="4" max="4" width="17.44140625" customWidth="1"/>
    <col min="5" max="5" width="14.88671875" bestFit="1" customWidth="1"/>
    <col min="6" max="6" width="18.21875" bestFit="1" customWidth="1"/>
    <col min="7" max="7" width="23.5546875" customWidth="1"/>
    <col min="8" max="8" width="12.5546875" customWidth="1"/>
    <col min="18" max="18" width="19" bestFit="1" customWidth="1"/>
    <col min="19" max="19" width="12.33203125" bestFit="1" customWidth="1"/>
  </cols>
  <sheetData>
    <row r="1" spans="7:15" x14ac:dyDescent="0.3">
      <c r="O1" s="5"/>
    </row>
    <row r="2" spans="7:15" x14ac:dyDescent="0.3">
      <c r="O2" s="5"/>
    </row>
    <row r="3" spans="7:15" x14ac:dyDescent="0.3">
      <c r="O3" s="5"/>
    </row>
    <row r="4" spans="7:15" x14ac:dyDescent="0.3">
      <c r="O4" s="5"/>
    </row>
    <row r="5" spans="7:15" x14ac:dyDescent="0.3">
      <c r="O5" s="5"/>
    </row>
    <row r="6" spans="7:15" x14ac:dyDescent="0.3">
      <c r="O6" s="5"/>
    </row>
    <row r="7" spans="7:15" x14ac:dyDescent="0.3">
      <c r="O7" s="5"/>
    </row>
    <row r="8" spans="7:15" x14ac:dyDescent="0.3">
      <c r="G8" s="1" t="s">
        <v>72</v>
      </c>
      <c r="H8" s="1" t="s">
        <v>71</v>
      </c>
      <c r="O8" s="5"/>
    </row>
    <row r="9" spans="7:15" x14ac:dyDescent="0.3">
      <c r="G9" s="1" t="s">
        <v>3</v>
      </c>
      <c r="H9" s="1">
        <f>COUNT('Data_set 2'!D2:D41)</f>
        <v>40</v>
      </c>
      <c r="O9" s="5"/>
    </row>
    <row r="10" spans="7:15" ht="14.4" customHeight="1" x14ac:dyDescent="0.3">
      <c r="G10" s="1" t="s">
        <v>4</v>
      </c>
      <c r="H10" s="1">
        <f>COUNT('Data_set 2'!E2:E41)</f>
        <v>40</v>
      </c>
      <c r="K10" s="2"/>
      <c r="L10" s="2"/>
      <c r="M10" s="2"/>
      <c r="N10" s="2"/>
      <c r="O10" s="6"/>
    </row>
    <row r="11" spans="7:15" x14ac:dyDescent="0.3">
      <c r="G11" s="1" t="s">
        <v>5</v>
      </c>
      <c r="H11" s="1">
        <f>COUNT('Data_set 2'!F2:F41)</f>
        <v>40</v>
      </c>
      <c r="O11" s="5"/>
    </row>
    <row r="12" spans="7:15" x14ac:dyDescent="0.3">
      <c r="G12" s="1" t="s">
        <v>6</v>
      </c>
      <c r="H12" s="1">
        <f>COUNT('Data_set 2'!G2:G41)</f>
        <v>40</v>
      </c>
      <c r="O12" s="5"/>
    </row>
    <row r="13" spans="7:15" x14ac:dyDescent="0.3">
      <c r="G13" s="1" t="s">
        <v>7</v>
      </c>
      <c r="H13" s="1">
        <f>COUNT('Data_set 2'!H2:H41)</f>
        <v>40</v>
      </c>
      <c r="O13" s="5"/>
    </row>
    <row r="14" spans="7:15" x14ac:dyDescent="0.3">
      <c r="G14" s="1" t="s">
        <v>8</v>
      </c>
      <c r="H14" s="1">
        <f>COUNT('Data_set 2'!I2:I41)</f>
        <v>40</v>
      </c>
      <c r="O14" s="5"/>
    </row>
    <row r="15" spans="7:15" x14ac:dyDescent="0.3">
      <c r="G15" s="1" t="s">
        <v>9</v>
      </c>
      <c r="H15" s="1">
        <f>COUNT('Data_set 2'!J2:J41)</f>
        <v>40</v>
      </c>
      <c r="O15" s="5"/>
    </row>
    <row r="16" spans="7:15" x14ac:dyDescent="0.3">
      <c r="G16" s="1" t="s">
        <v>76</v>
      </c>
      <c r="H16" s="1">
        <f>COUNTIF('Data_set 2'!K2:K41,"Yes")</f>
        <v>35</v>
      </c>
      <c r="O16" s="5"/>
    </row>
    <row r="17" spans="1:15" x14ac:dyDescent="0.3">
      <c r="G17" s="1"/>
      <c r="H17" s="1"/>
      <c r="O17" s="5"/>
    </row>
    <row r="18" spans="1:15" x14ac:dyDescent="0.3">
      <c r="G18" s="1"/>
      <c r="H18" s="1"/>
      <c r="O18" s="5"/>
    </row>
    <row r="19" spans="1:15" x14ac:dyDescent="0.3">
      <c r="G19" s="1"/>
      <c r="H19" s="1"/>
      <c r="O19" s="5"/>
    </row>
    <row r="20" spans="1:15" x14ac:dyDescent="0.3">
      <c r="G20" s="1"/>
      <c r="H20" s="1"/>
      <c r="O20" s="5"/>
    </row>
    <row r="21" spans="1:15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spans="1:15" x14ac:dyDescent="0.3">
      <c r="O22" s="7"/>
    </row>
    <row r="23" spans="1:15" x14ac:dyDescent="0.3">
      <c r="O23" s="5"/>
    </row>
    <row r="24" spans="1:15" x14ac:dyDescent="0.3">
      <c r="O24" s="5"/>
    </row>
    <row r="25" spans="1:15" x14ac:dyDescent="0.3">
      <c r="O25" s="5"/>
    </row>
    <row r="26" spans="1:15" x14ac:dyDescent="0.3">
      <c r="J26" s="4"/>
      <c r="O26" s="5"/>
    </row>
    <row r="27" spans="1:15" x14ac:dyDescent="0.3">
      <c r="O27" s="5"/>
    </row>
    <row r="28" spans="1:15" x14ac:dyDescent="0.3">
      <c r="O28" s="5"/>
    </row>
    <row r="29" spans="1:15" x14ac:dyDescent="0.3">
      <c r="O29" s="5"/>
    </row>
    <row r="30" spans="1:15" x14ac:dyDescent="0.3">
      <c r="E30" s="3" t="s">
        <v>68</v>
      </c>
      <c r="F30" s="1" t="s">
        <v>70</v>
      </c>
      <c r="O30" s="5"/>
    </row>
    <row r="31" spans="1:15" x14ac:dyDescent="0.3">
      <c r="E31" s="1" t="s">
        <v>38</v>
      </c>
      <c r="F31" s="1">
        <v>3</v>
      </c>
      <c r="O31" s="5"/>
    </row>
    <row r="32" spans="1:15" x14ac:dyDescent="0.3">
      <c r="E32" s="1" t="s">
        <v>25</v>
      </c>
      <c r="F32" s="1">
        <v>37</v>
      </c>
      <c r="O32" s="5"/>
    </row>
    <row r="33" spans="1:15" x14ac:dyDescent="0.3">
      <c r="E33" s="1" t="s">
        <v>69</v>
      </c>
      <c r="F33" s="1">
        <v>40</v>
      </c>
      <c r="O33" s="5"/>
    </row>
    <row r="34" spans="1:15" x14ac:dyDescent="0.3">
      <c r="O34" s="5"/>
    </row>
    <row r="35" spans="1:15" x14ac:dyDescent="0.3">
      <c r="O35" s="5"/>
    </row>
    <row r="36" spans="1:15" x14ac:dyDescent="0.3">
      <c r="O36" s="5"/>
    </row>
    <row r="37" spans="1:15" x14ac:dyDescent="0.3">
      <c r="O37" s="5"/>
    </row>
    <row r="38" spans="1:15" x14ac:dyDescent="0.3">
      <c r="O38" s="5"/>
    </row>
    <row r="39" spans="1:15" x14ac:dyDescent="0.3">
      <c r="O39" s="5"/>
    </row>
    <row r="40" spans="1:15" x14ac:dyDescent="0.3">
      <c r="O40" s="5"/>
    </row>
    <row r="41" spans="1:15" x14ac:dyDescent="0.3">
      <c r="O41" s="5"/>
    </row>
    <row r="42" spans="1:1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8"/>
    </row>
    <row r="47" spans="1:15" x14ac:dyDescent="0.3">
      <c r="A47" s="3" t="s">
        <v>68</v>
      </c>
      <c r="B47" s="1" t="s">
        <v>73</v>
      </c>
    </row>
    <row r="48" spans="1:15" x14ac:dyDescent="0.3">
      <c r="A48" s="1" t="s">
        <v>39</v>
      </c>
      <c r="B48" s="1">
        <v>1</v>
      </c>
    </row>
    <row r="49" spans="1:6" x14ac:dyDescent="0.3">
      <c r="A49" s="1" t="s">
        <v>26</v>
      </c>
      <c r="B49" s="1">
        <v>25</v>
      </c>
    </row>
    <row r="50" spans="1:6" x14ac:dyDescent="0.3">
      <c r="A50" s="1" t="s">
        <v>60</v>
      </c>
      <c r="B50" s="1">
        <v>14</v>
      </c>
    </row>
    <row r="51" spans="1:6" x14ac:dyDescent="0.3">
      <c r="A51" s="1" t="s">
        <v>69</v>
      </c>
      <c r="B51" s="1">
        <v>40</v>
      </c>
    </row>
    <row r="58" spans="1:6" x14ac:dyDescent="0.3">
      <c r="F58" t="s">
        <v>74</v>
      </c>
    </row>
  </sheetData>
  <mergeCells count="1">
    <mergeCell ref="A21:O2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1764-2E6C-499B-969C-7ECBC6015249}">
  <dimension ref="A1:Z43"/>
  <sheetViews>
    <sheetView topLeftCell="A10" zoomScale="85" zoomScaleNormal="85" workbookViewId="0">
      <selection activeCell="C1" sqref="C1:C41"/>
    </sheetView>
  </sheetViews>
  <sheetFormatPr defaultRowHeight="14.4" x14ac:dyDescent="0.3"/>
  <cols>
    <col min="1" max="1" width="16.21875" customWidth="1"/>
    <col min="2" max="2" width="16.5546875" customWidth="1"/>
    <col min="3" max="3" width="20.77734375" customWidth="1"/>
    <col min="4" max="4" width="34.21875" customWidth="1"/>
    <col min="5" max="5" width="20" customWidth="1"/>
    <col min="6" max="6" width="18.44140625" customWidth="1"/>
    <col min="7" max="7" width="23.88671875" customWidth="1"/>
    <col min="8" max="8" width="24.33203125" customWidth="1"/>
    <col min="9" max="9" width="21.33203125" customWidth="1"/>
    <col min="10" max="10" width="28.5546875" customWidth="1"/>
    <col min="11" max="11" width="29.33203125" customWidth="1"/>
    <col min="12" max="12" width="29.77734375" customWidth="1"/>
    <col min="13" max="13" width="26.44140625" customWidth="1"/>
    <col min="14" max="14" width="21.109375" customWidth="1"/>
    <col min="15" max="15" width="21.44140625" customWidth="1"/>
    <col min="16" max="16" width="18.5546875" customWidth="1"/>
    <col min="17" max="17" width="16.21875" customWidth="1"/>
    <col min="18" max="18" width="18.5546875" customWidth="1"/>
    <col min="19" max="19" width="29.44140625" customWidth="1"/>
    <col min="20" max="20" width="22.109375" customWidth="1"/>
    <col min="21" max="21" width="23.88671875" customWidth="1"/>
    <col min="22" max="22" width="21" customWidth="1"/>
    <col min="23" max="23" width="17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spans="1:26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  <c r="Y2" s="1"/>
      <c r="Z2" s="1"/>
    </row>
    <row r="3" spans="1:26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  <c r="Y3" s="1"/>
      <c r="Z3" s="1"/>
    </row>
    <row r="4" spans="1:26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  <c r="Y4" s="1"/>
      <c r="Z4" s="1"/>
    </row>
    <row r="5" spans="1:26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  <c r="Y5" s="1"/>
      <c r="Z5" s="1"/>
    </row>
    <row r="6" spans="1:26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  <c r="Y6" s="1"/>
      <c r="Z6" s="1"/>
    </row>
    <row r="7" spans="1:26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  <c r="Y7" s="1"/>
      <c r="Z7" s="1"/>
    </row>
    <row r="8" spans="1:26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  <c r="Y8" s="1"/>
      <c r="Z8" s="1"/>
    </row>
    <row r="9" spans="1:26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  <c r="Y9" s="1"/>
      <c r="Z9" s="1"/>
    </row>
    <row r="10" spans="1:26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  <c r="Y10" s="1"/>
      <c r="Z10" s="1"/>
    </row>
    <row r="11" spans="1:26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  <c r="Y11" s="1"/>
      <c r="Z11" s="1"/>
    </row>
    <row r="12" spans="1:26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  <c r="Y12" s="1"/>
      <c r="Z12" s="1"/>
    </row>
    <row r="13" spans="1:26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  <c r="Y13" s="1"/>
      <c r="Z13" s="1"/>
    </row>
    <row r="14" spans="1:26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  <c r="Y14" s="1"/>
      <c r="Z14" s="1"/>
    </row>
    <row r="15" spans="1:26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  <c r="Y15" s="1"/>
      <c r="Z15" s="1"/>
    </row>
    <row r="16" spans="1:26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  <c r="Y16" s="1"/>
      <c r="Z16" s="1"/>
    </row>
    <row r="17" spans="1:26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  <c r="Y17" s="1"/>
      <c r="Z17" s="1"/>
    </row>
    <row r="18" spans="1:26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  <c r="Y18" s="1"/>
      <c r="Z18" s="1"/>
    </row>
    <row r="19" spans="1:26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  <c r="Y19" s="1"/>
      <c r="Z19" s="1"/>
    </row>
    <row r="20" spans="1:26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  <c r="Y20" s="1"/>
      <c r="Z20" s="1"/>
    </row>
    <row r="21" spans="1:26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  <c r="Y21" s="1"/>
      <c r="Z21" s="1"/>
    </row>
    <row r="22" spans="1:26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  <c r="Y22" s="1"/>
      <c r="Z22" s="1"/>
    </row>
    <row r="23" spans="1:26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  <c r="Y23" s="1"/>
      <c r="Z23" s="1"/>
    </row>
    <row r="24" spans="1:26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  <c r="Y24" s="1"/>
      <c r="Z24" s="1"/>
    </row>
    <row r="25" spans="1:26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  <c r="Y25" s="1"/>
      <c r="Z25" s="1"/>
    </row>
    <row r="26" spans="1:26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  <c r="Y26" s="1"/>
      <c r="Z26" s="1"/>
    </row>
    <row r="27" spans="1:26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  <c r="Y27" s="1"/>
      <c r="Z27" s="1"/>
    </row>
    <row r="28" spans="1:26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  <c r="Y28" s="1"/>
      <c r="Z28" s="1"/>
    </row>
    <row r="29" spans="1:26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  <c r="Y29" s="1"/>
      <c r="Z29" s="1"/>
    </row>
    <row r="30" spans="1:26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  <c r="Y30" s="1"/>
      <c r="Z30" s="1"/>
    </row>
    <row r="31" spans="1:26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  <c r="Y31" s="1"/>
      <c r="Z31" s="1"/>
    </row>
    <row r="32" spans="1:26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  <c r="Y32" s="1"/>
      <c r="Z32" s="1"/>
    </row>
    <row r="33" spans="1:26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  <c r="Y33" s="1"/>
      <c r="Z33" s="1"/>
    </row>
    <row r="34" spans="1:26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  <c r="Y34" s="1"/>
      <c r="Z34" s="1"/>
    </row>
    <row r="35" spans="1:26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  <c r="Y35" s="1"/>
      <c r="Z35" s="1"/>
    </row>
    <row r="36" spans="1:26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  <c r="Y36" s="1"/>
      <c r="Z36" s="1"/>
    </row>
    <row r="37" spans="1:26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  <c r="Y37" s="1"/>
      <c r="Z37" s="1"/>
    </row>
    <row r="38" spans="1:26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  <c r="Y38" s="1"/>
      <c r="Z38" s="1"/>
    </row>
    <row r="39" spans="1:26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  <c r="Y39" s="1"/>
      <c r="Z39" s="1"/>
    </row>
    <row r="40" spans="1:26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  <c r="Y40" s="1"/>
      <c r="Z40" s="1"/>
    </row>
    <row r="41" spans="1:26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  <c r="Y41" s="1"/>
      <c r="Z41" s="1"/>
    </row>
    <row r="43" spans="1:26" x14ac:dyDescent="0.3">
      <c r="F4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2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KRISHNA'S PC</dc:creator>
  <cp:lastModifiedBy>KRISHNA'S PC</cp:lastModifiedBy>
  <dcterms:created xsi:type="dcterms:W3CDTF">2026-08-15T15:07:47Z</dcterms:created>
  <dcterms:modified xsi:type="dcterms:W3CDTF">2026-08-17T16:36:52Z</dcterms:modified>
</cp:coreProperties>
</file>